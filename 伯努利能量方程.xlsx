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 filterPrivacy="1"/>
  <xr:revisionPtr revIDLastSave="0" documentId="13_ncr:1_{6A94AB7E-5D7B-4225-95DA-FF59A871385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B17" i="1"/>
  <c r="C12" i="1"/>
  <c r="D12" i="1"/>
  <c r="E12" i="1"/>
  <c r="F12" i="1"/>
  <c r="G12" i="1"/>
  <c r="H12" i="1"/>
  <c r="I12" i="1"/>
  <c r="J12" i="1"/>
  <c r="K12" i="1"/>
  <c r="L12" i="1"/>
  <c r="B12" i="1"/>
  <c r="C16" i="1"/>
  <c r="D16" i="1"/>
  <c r="E16" i="1"/>
  <c r="F16" i="1"/>
  <c r="G16" i="1"/>
  <c r="H16" i="1"/>
  <c r="I16" i="1"/>
  <c r="J16" i="1"/>
  <c r="K16" i="1"/>
  <c r="L16" i="1"/>
  <c r="C11" i="1"/>
  <c r="D11" i="1"/>
  <c r="E11" i="1"/>
  <c r="F11" i="1"/>
  <c r="G11" i="1"/>
  <c r="H11" i="1"/>
  <c r="I11" i="1"/>
  <c r="J11" i="1"/>
  <c r="K11" i="1"/>
  <c r="L11" i="1"/>
  <c r="B16" i="1"/>
  <c r="B11" i="1"/>
  <c r="B5" i="1"/>
  <c r="C15" i="1"/>
  <c r="D15" i="1"/>
  <c r="E15" i="1"/>
  <c r="F15" i="1"/>
  <c r="G15" i="1"/>
  <c r="H15" i="1"/>
  <c r="I15" i="1"/>
  <c r="J15" i="1"/>
  <c r="K15" i="1"/>
  <c r="L15" i="1"/>
  <c r="C10" i="1"/>
  <c r="D10" i="1"/>
  <c r="E10" i="1"/>
  <c r="F10" i="1"/>
  <c r="G10" i="1"/>
  <c r="H10" i="1"/>
  <c r="I10" i="1"/>
  <c r="J10" i="1"/>
  <c r="K10" i="1"/>
  <c r="L10" i="1"/>
  <c r="B15" i="1"/>
  <c r="B10" i="1"/>
  <c r="B4" i="1"/>
  <c r="B6" i="1" s="1"/>
  <c r="C6" i="1"/>
  <c r="D6" i="1"/>
  <c r="E6" i="1"/>
  <c r="F6" i="1"/>
  <c r="G6" i="1"/>
  <c r="H6" i="1"/>
  <c r="I6" i="1"/>
  <c r="J6" i="1"/>
  <c r="K6" i="1"/>
  <c r="L6" i="1"/>
  <c r="C5" i="1"/>
  <c r="D5" i="1"/>
  <c r="E5" i="1"/>
  <c r="F5" i="1"/>
  <c r="G5" i="1"/>
  <c r="H5" i="1"/>
  <c r="I5" i="1"/>
  <c r="J5" i="1"/>
  <c r="K5" i="1"/>
  <c r="L5" i="1"/>
  <c r="C4" i="1"/>
  <c r="D4" i="1"/>
  <c r="E4" i="1"/>
  <c r="F4" i="1"/>
  <c r="G4" i="1"/>
  <c r="H4" i="1"/>
  <c r="I4" i="1"/>
  <c r="J4" i="1"/>
  <c r="K4" i="1"/>
  <c r="L4" i="1"/>
</calcChain>
</file>

<file path=xl/sharedStrings.xml><?xml version="1.0" encoding="utf-8"?>
<sst xmlns="http://schemas.openxmlformats.org/spreadsheetml/2006/main" count="13" uniqueCount="7">
  <si>
    <t>测点编号</t>
  </si>
  <si>
    <t>流量 cm3/s</t>
  </si>
  <si>
    <t>管径D(cm)</t>
    <phoneticPr fontId="2" type="noConversion"/>
  </si>
  <si>
    <t>流速v(cm/s)</t>
    <phoneticPr fontId="2" type="noConversion"/>
  </si>
  <si>
    <t>测压管水头1</t>
    <phoneticPr fontId="2" type="noConversion"/>
  </si>
  <si>
    <t>总水头</t>
    <phoneticPr fontId="2" type="noConversion"/>
  </si>
  <si>
    <t>速度水头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</si>
</sst>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Border="1"/>
    <xf numFmtId="0" fontId="0" fillId="0" borderId="1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0" fillId="0" borderId="8" xfId="0" applyBorder="1"/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814387</xdr:colOff>
      <xdr:row>4</xdr:row>
      <xdr:rowOff>47625</xdr:rowOff>
    </xdr:from>
    <xdr:ext cx="271100" cy="3693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7B5C95BB-CD79-4782-905B-FFBA37D69BA6}"/>
                </a:ext>
              </a:extLst>
            </xdr:cNvPr>
            <xdr:cNvSpPr txBox="1"/>
          </xdr:nvSpPr>
          <xdr:spPr>
            <a:xfrm>
              <a:off x="814387" y="800100"/>
              <a:ext cx="271100" cy="369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7B5C95BB-CD79-4782-905B-FFBA37D69BA6}"/>
                </a:ext>
              </a:extLst>
            </xdr:cNvPr>
            <xdr:cNvSpPr txBox="1"/>
          </xdr:nvSpPr>
          <xdr:spPr>
            <a:xfrm>
              <a:off x="814387" y="800100"/>
              <a:ext cx="271100" cy="369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(</a:t>
              </a:r>
              <a:r>
                <a:rPr lang="zh-CN" altLang="en-US" sz="1100" i="0">
                  <a:latin typeface="Cambria Math" panose="02040503050406030204" pitchFamily="18" charset="0"/>
                </a:rPr>
                <a:t>𝛼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𝑣^2)/2𝑔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814387</xdr:colOff>
      <xdr:row>10</xdr:row>
      <xdr:rowOff>47625</xdr:rowOff>
    </xdr:from>
    <xdr:ext cx="271100" cy="3693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502DC5C6-4754-410F-8547-86EF0608CAA1}"/>
                </a:ext>
              </a:extLst>
            </xdr:cNvPr>
            <xdr:cNvSpPr txBox="1"/>
          </xdr:nvSpPr>
          <xdr:spPr>
            <a:xfrm>
              <a:off x="814387" y="800100"/>
              <a:ext cx="271100" cy="369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502DC5C6-4754-410F-8547-86EF0608CAA1}"/>
                </a:ext>
              </a:extLst>
            </xdr:cNvPr>
            <xdr:cNvSpPr txBox="1"/>
          </xdr:nvSpPr>
          <xdr:spPr>
            <a:xfrm>
              <a:off x="814387" y="800100"/>
              <a:ext cx="271100" cy="369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(</a:t>
              </a:r>
              <a:r>
                <a:rPr lang="zh-CN" altLang="en-US" sz="1100" i="0">
                  <a:latin typeface="Cambria Math" panose="02040503050406030204" pitchFamily="18" charset="0"/>
                </a:rPr>
                <a:t>𝛼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𝑣^2)/2𝑔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814387</xdr:colOff>
      <xdr:row>15</xdr:row>
      <xdr:rowOff>47625</xdr:rowOff>
    </xdr:from>
    <xdr:ext cx="271100" cy="3693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9BAD48FC-0BAF-4015-B7E9-ED14D8F48CCD}"/>
                </a:ext>
              </a:extLst>
            </xdr:cNvPr>
            <xdr:cNvSpPr txBox="1"/>
          </xdr:nvSpPr>
          <xdr:spPr>
            <a:xfrm>
              <a:off x="814387" y="2162175"/>
              <a:ext cx="271100" cy="369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9BAD48FC-0BAF-4015-B7E9-ED14D8F48CCD}"/>
                </a:ext>
              </a:extLst>
            </xdr:cNvPr>
            <xdr:cNvSpPr txBox="1"/>
          </xdr:nvSpPr>
          <xdr:spPr>
            <a:xfrm>
              <a:off x="814387" y="2162175"/>
              <a:ext cx="271100" cy="369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(</a:t>
              </a:r>
              <a:r>
                <a:rPr lang="zh-CN" altLang="en-US" sz="1100" i="0">
                  <a:latin typeface="Cambria Math" panose="02040503050406030204" pitchFamily="18" charset="0"/>
                </a:rPr>
                <a:t>𝛼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𝑣^2)/2𝑔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A10" workbookViewId="0">
      <selection activeCell="K14" sqref="K14"/>
    </sheetView>
  </sheetViews>
  <sheetFormatPr defaultRowHeight="14.25" x14ac:dyDescent="0.2"/>
  <cols>
    <col min="1" max="1" width="17.75" customWidth="1"/>
    <col min="13" max="13" width="12.125" customWidth="1"/>
  </cols>
  <sheetData>
    <row r="1" spans="1:13" x14ac:dyDescent="0.2">
      <c r="A1" s="5" t="s">
        <v>0</v>
      </c>
      <c r="B1" s="7">
        <v>2</v>
      </c>
      <c r="C1" s="7">
        <v>3</v>
      </c>
      <c r="D1" s="7">
        <v>4</v>
      </c>
      <c r="E1" s="7">
        <v>5</v>
      </c>
      <c r="F1" s="7">
        <v>7</v>
      </c>
      <c r="G1" s="7">
        <v>9</v>
      </c>
      <c r="H1" s="7">
        <v>11</v>
      </c>
      <c r="I1" s="7">
        <v>13</v>
      </c>
      <c r="J1" s="7">
        <v>15</v>
      </c>
      <c r="K1" s="7">
        <v>17</v>
      </c>
      <c r="L1" s="7">
        <v>19</v>
      </c>
      <c r="M1" s="16" t="s">
        <v>1</v>
      </c>
    </row>
    <row r="2" spans="1:13" x14ac:dyDescent="0.2">
      <c r="A2" s="13" t="s">
        <v>2</v>
      </c>
      <c r="B2" s="1">
        <v>1.42</v>
      </c>
      <c r="C2" s="1">
        <v>1.42</v>
      </c>
      <c r="D2" s="1">
        <v>1.42</v>
      </c>
      <c r="E2" s="1">
        <v>1.42</v>
      </c>
      <c r="F2" s="1">
        <v>1</v>
      </c>
      <c r="G2" s="1">
        <v>1.42</v>
      </c>
      <c r="H2" s="1">
        <v>1.42</v>
      </c>
      <c r="I2" s="1">
        <v>1.42</v>
      </c>
      <c r="J2" s="1">
        <v>1.42</v>
      </c>
      <c r="K2" s="1">
        <v>2</v>
      </c>
      <c r="L2" s="2">
        <v>1.42</v>
      </c>
      <c r="M2" s="14"/>
    </row>
    <row r="3" spans="1:13" x14ac:dyDescent="0.2">
      <c r="A3" s="13" t="s">
        <v>4</v>
      </c>
      <c r="B3" s="1">
        <v>46.4</v>
      </c>
      <c r="C3" s="1">
        <v>46.4</v>
      </c>
      <c r="D3" s="1">
        <v>46.2</v>
      </c>
      <c r="E3" s="1">
        <v>46</v>
      </c>
      <c r="F3" s="1">
        <v>46.68</v>
      </c>
      <c r="G3" s="1">
        <v>42.05</v>
      </c>
      <c r="H3" s="1">
        <v>42.05</v>
      </c>
      <c r="I3" s="1">
        <v>42.85</v>
      </c>
      <c r="J3" s="1">
        <v>39.78</v>
      </c>
      <c r="K3" s="1">
        <v>40.090000000000003</v>
      </c>
      <c r="L3" s="1">
        <v>38.51</v>
      </c>
      <c r="M3" s="17">
        <v>82.2</v>
      </c>
    </row>
    <row r="4" spans="1:13" x14ac:dyDescent="0.2">
      <c r="A4" s="9" t="s">
        <v>3</v>
      </c>
      <c r="B4" s="3">
        <f>4*82.2/(PI()*B2^2)</f>
        <v>51.90452815772187</v>
      </c>
      <c r="C4" s="3">
        <f t="shared" ref="C4:L4" si="0">4*82.2/(PI()*C2^2)</f>
        <v>51.90452815772187</v>
      </c>
      <c r="D4" s="3">
        <f t="shared" si="0"/>
        <v>51.90452815772187</v>
      </c>
      <c r="E4" s="3">
        <f t="shared" si="0"/>
        <v>51.90452815772187</v>
      </c>
      <c r="F4" s="3">
        <f t="shared" si="0"/>
        <v>104.66029057723038</v>
      </c>
      <c r="G4" s="3">
        <f t="shared" si="0"/>
        <v>51.90452815772187</v>
      </c>
      <c r="H4" s="3">
        <f t="shared" si="0"/>
        <v>51.90452815772187</v>
      </c>
      <c r="I4" s="3">
        <f t="shared" si="0"/>
        <v>51.90452815772187</v>
      </c>
      <c r="J4" s="3">
        <f t="shared" si="0"/>
        <v>51.90452815772187</v>
      </c>
      <c r="K4" s="3">
        <f t="shared" si="0"/>
        <v>26.165072644307596</v>
      </c>
      <c r="L4" s="3">
        <f t="shared" si="0"/>
        <v>51.90452815772187</v>
      </c>
      <c r="M4" s="10"/>
    </row>
    <row r="5" spans="1:13" ht="34.5" customHeight="1" x14ac:dyDescent="0.2">
      <c r="A5" s="12" t="s">
        <v>6</v>
      </c>
      <c r="B5" s="3">
        <f>B4^2/(2*9.8*100)</f>
        <v>1.3745306343243582</v>
      </c>
      <c r="C5" s="3">
        <f t="shared" ref="C5:L5" si="1">C4^2/(2*9.8*100)</f>
        <v>1.3745306343243582</v>
      </c>
      <c r="D5" s="3">
        <f t="shared" si="1"/>
        <v>1.3745306343243582</v>
      </c>
      <c r="E5" s="3">
        <f t="shared" si="1"/>
        <v>1.3745306343243582</v>
      </c>
      <c r="F5" s="3">
        <f t="shared" si="1"/>
        <v>5.5886614406685187</v>
      </c>
      <c r="G5" s="3">
        <f t="shared" si="1"/>
        <v>1.3745306343243582</v>
      </c>
      <c r="H5" s="3">
        <f t="shared" si="1"/>
        <v>1.3745306343243582</v>
      </c>
      <c r="I5" s="3">
        <f t="shared" si="1"/>
        <v>1.3745306343243582</v>
      </c>
      <c r="J5" s="3">
        <f t="shared" si="1"/>
        <v>1.3745306343243582</v>
      </c>
      <c r="K5" s="3">
        <f t="shared" si="1"/>
        <v>0.34929134004178242</v>
      </c>
      <c r="L5" s="3">
        <f t="shared" si="1"/>
        <v>1.3745306343243582</v>
      </c>
      <c r="M5" s="10"/>
    </row>
    <row r="6" spans="1:13" x14ac:dyDescent="0.2">
      <c r="A6" s="18" t="s">
        <v>5</v>
      </c>
      <c r="B6" s="4">
        <f>B3+B5</f>
        <v>47.774530634324357</v>
      </c>
      <c r="C6" s="4">
        <f t="shared" ref="C6:L6" si="2">C3+C5</f>
        <v>47.774530634324357</v>
      </c>
      <c r="D6" s="4">
        <f t="shared" si="2"/>
        <v>47.574530634324361</v>
      </c>
      <c r="E6" s="4">
        <f t="shared" si="2"/>
        <v>47.374530634324358</v>
      </c>
      <c r="F6" s="4">
        <f t="shared" si="2"/>
        <v>52.268661440668517</v>
      </c>
      <c r="G6" s="4">
        <f t="shared" si="2"/>
        <v>43.424530634324356</v>
      </c>
      <c r="H6" s="4">
        <f t="shared" si="2"/>
        <v>43.424530634324356</v>
      </c>
      <c r="I6" s="4">
        <f t="shared" si="2"/>
        <v>44.22453063432436</v>
      </c>
      <c r="J6" s="4">
        <f t="shared" si="2"/>
        <v>41.15453063432436</v>
      </c>
      <c r="K6" s="4">
        <f t="shared" si="2"/>
        <v>40.439291340041784</v>
      </c>
      <c r="L6" s="4">
        <f t="shared" si="2"/>
        <v>39.884530634324356</v>
      </c>
      <c r="M6" s="15"/>
    </row>
    <row r="7" spans="1:13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">
      <c r="A9" s="5">
        <v>2</v>
      </c>
      <c r="B9" s="6">
        <v>41.79</v>
      </c>
      <c r="C9" s="6">
        <v>41.79</v>
      </c>
      <c r="D9" s="6">
        <v>41.25</v>
      </c>
      <c r="E9" s="6">
        <v>40.6</v>
      </c>
      <c r="F9" s="6">
        <v>22</v>
      </c>
      <c r="G9" s="6">
        <v>29.25</v>
      </c>
      <c r="H9" s="6">
        <v>29</v>
      </c>
      <c r="I9" s="6">
        <v>32.380000000000003</v>
      </c>
      <c r="J9" s="6">
        <v>22.3</v>
      </c>
      <c r="K9" s="6">
        <v>23.91</v>
      </c>
      <c r="L9" s="7">
        <v>18.5</v>
      </c>
      <c r="M9" s="8">
        <v>157.69999999999999</v>
      </c>
    </row>
    <row r="10" spans="1:13" x14ac:dyDescent="0.2">
      <c r="A10" s="9" t="s">
        <v>3</v>
      </c>
      <c r="B10" s="3">
        <f>4*157.7/(PI()*B2^2)</f>
        <v>99.578395261225523</v>
      </c>
      <c r="C10" s="3">
        <f t="shared" ref="C10:L10" si="3">4*157.7/(PI()*C2^2)</f>
        <v>99.578395261225523</v>
      </c>
      <c r="D10" s="3">
        <f t="shared" si="3"/>
        <v>99.578395261225523</v>
      </c>
      <c r="E10" s="3">
        <f t="shared" si="3"/>
        <v>99.578395261225523</v>
      </c>
      <c r="F10" s="3">
        <f t="shared" si="3"/>
        <v>200.78987620473515</v>
      </c>
      <c r="G10" s="3">
        <f t="shared" si="3"/>
        <v>99.578395261225523</v>
      </c>
      <c r="H10" s="3">
        <f t="shared" si="3"/>
        <v>99.578395261225523</v>
      </c>
      <c r="I10" s="3">
        <f t="shared" si="3"/>
        <v>99.578395261225523</v>
      </c>
      <c r="J10" s="3">
        <f t="shared" si="3"/>
        <v>99.578395261225523</v>
      </c>
      <c r="K10" s="3">
        <f t="shared" si="3"/>
        <v>50.197469051183788</v>
      </c>
      <c r="L10" s="3">
        <f t="shared" si="3"/>
        <v>99.578395261225523</v>
      </c>
      <c r="M10" s="10"/>
    </row>
    <row r="11" spans="1:13" ht="34.5" customHeight="1" x14ac:dyDescent="0.2">
      <c r="A11" s="11" t="s">
        <v>6</v>
      </c>
      <c r="B11" s="3">
        <f>B10^2/(2*9.8*100)</f>
        <v>5.0591106136739086</v>
      </c>
      <c r="C11" s="3">
        <f t="shared" ref="C11:L11" si="4">C10^2/(2*9.8*100)</f>
        <v>5.0591106136739086</v>
      </c>
      <c r="D11" s="3">
        <f t="shared" si="4"/>
        <v>5.0591106136739086</v>
      </c>
      <c r="E11" s="3">
        <f t="shared" si="4"/>
        <v>5.0591106136739086</v>
      </c>
      <c r="F11" s="3">
        <f t="shared" si="4"/>
        <v>20.569680809343296</v>
      </c>
      <c r="G11" s="3">
        <f t="shared" si="4"/>
        <v>5.0591106136739086</v>
      </c>
      <c r="H11" s="3">
        <f t="shared" si="4"/>
        <v>5.0591106136739086</v>
      </c>
      <c r="I11" s="3">
        <f t="shared" si="4"/>
        <v>5.0591106136739086</v>
      </c>
      <c r="J11" s="3">
        <f t="shared" si="4"/>
        <v>5.0591106136739086</v>
      </c>
      <c r="K11" s="3">
        <f t="shared" si="4"/>
        <v>1.285605050583956</v>
      </c>
      <c r="L11" s="3">
        <f t="shared" si="4"/>
        <v>5.0591106136739086</v>
      </c>
      <c r="M11" s="10"/>
    </row>
    <row r="12" spans="1:13" x14ac:dyDescent="0.2">
      <c r="A12" s="18" t="s">
        <v>5</v>
      </c>
      <c r="B12" s="4">
        <f>B9+B11</f>
        <v>46.849110613673908</v>
      </c>
      <c r="C12" s="4">
        <f t="shared" ref="C12:L12" si="5">C9+C11</f>
        <v>46.849110613673908</v>
      </c>
      <c r="D12" s="4">
        <f t="shared" si="5"/>
        <v>46.309110613673909</v>
      </c>
      <c r="E12" s="4">
        <f t="shared" si="5"/>
        <v>45.65911061367391</v>
      </c>
      <c r="F12" s="4">
        <f t="shared" si="5"/>
        <v>42.569680809343296</v>
      </c>
      <c r="G12" s="4">
        <f t="shared" si="5"/>
        <v>34.309110613673909</v>
      </c>
      <c r="H12" s="4">
        <f t="shared" si="5"/>
        <v>34.059110613673909</v>
      </c>
      <c r="I12" s="4">
        <f t="shared" si="5"/>
        <v>37.439110613673911</v>
      </c>
      <c r="J12" s="4">
        <f t="shared" si="5"/>
        <v>27.359110613673909</v>
      </c>
      <c r="K12" s="4">
        <f t="shared" si="5"/>
        <v>25.195605050583957</v>
      </c>
      <c r="L12" s="4">
        <f t="shared" si="5"/>
        <v>23.559110613673909</v>
      </c>
      <c r="M12" s="15"/>
    </row>
    <row r="13" spans="1:13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">
      <c r="A14" s="5">
        <v>3</v>
      </c>
      <c r="B14" s="6">
        <v>38.6</v>
      </c>
      <c r="C14" s="6">
        <v>38.6</v>
      </c>
      <c r="D14" s="6">
        <v>37.82</v>
      </c>
      <c r="E14" s="6">
        <v>36.92</v>
      </c>
      <c r="F14" s="6">
        <v>9.73</v>
      </c>
      <c r="G14" s="6">
        <v>20.5</v>
      </c>
      <c r="H14" s="6">
        <v>20.149999999999999</v>
      </c>
      <c r="I14" s="6">
        <v>25.02</v>
      </c>
      <c r="J14" s="6">
        <v>10.39</v>
      </c>
      <c r="K14" s="6">
        <v>12.2</v>
      </c>
      <c r="L14" s="7">
        <v>4.75</v>
      </c>
      <c r="M14" s="8">
        <v>193.8</v>
      </c>
    </row>
    <row r="15" spans="1:13" x14ac:dyDescent="0.2">
      <c r="A15" s="9" t="s">
        <v>3</v>
      </c>
      <c r="B15" s="3">
        <f>4*193.8/(PI()*B2^2)</f>
        <v>122.37344959813259</v>
      </c>
      <c r="C15" s="3">
        <f t="shared" ref="C15:L15" si="6">4*193.8/(PI()*C2^2)</f>
        <v>122.37344959813259</v>
      </c>
      <c r="D15" s="3">
        <f t="shared" si="6"/>
        <v>122.37344959813259</v>
      </c>
      <c r="E15" s="3">
        <f t="shared" si="6"/>
        <v>122.37344959813259</v>
      </c>
      <c r="F15" s="3">
        <f t="shared" si="6"/>
        <v>246.75382376967454</v>
      </c>
      <c r="G15" s="3">
        <f t="shared" si="6"/>
        <v>122.37344959813259</v>
      </c>
      <c r="H15" s="3">
        <f t="shared" si="6"/>
        <v>122.37344959813259</v>
      </c>
      <c r="I15" s="3">
        <f t="shared" si="6"/>
        <v>122.37344959813259</v>
      </c>
      <c r="J15" s="3">
        <f t="shared" si="6"/>
        <v>122.37344959813259</v>
      </c>
      <c r="K15" s="3">
        <f t="shared" si="6"/>
        <v>61.688455942418635</v>
      </c>
      <c r="L15" s="3">
        <f t="shared" si="6"/>
        <v>122.37344959813259</v>
      </c>
      <c r="M15" s="10"/>
    </row>
    <row r="16" spans="1:13" ht="33.75" customHeight="1" x14ac:dyDescent="0.2">
      <c r="A16" s="11" t="s">
        <v>6</v>
      </c>
      <c r="B16" s="3">
        <f>B15^2/(2*9.8*100)</f>
        <v>7.6404393706870906</v>
      </c>
      <c r="C16" s="3">
        <f t="shared" ref="C16:L16" si="7">C15^2/(2*9.8*100)</f>
        <v>7.6404393706870906</v>
      </c>
      <c r="D16" s="3">
        <f t="shared" si="7"/>
        <v>7.6404393706870906</v>
      </c>
      <c r="E16" s="3">
        <f t="shared" si="7"/>
        <v>7.6404393706870906</v>
      </c>
      <c r="F16" s="3">
        <f t="shared" si="7"/>
        <v>31.065025278038569</v>
      </c>
      <c r="G16" s="3">
        <f t="shared" si="7"/>
        <v>7.6404393706870906</v>
      </c>
      <c r="H16" s="3">
        <f t="shared" si="7"/>
        <v>7.6404393706870906</v>
      </c>
      <c r="I16" s="3">
        <f t="shared" si="7"/>
        <v>7.6404393706870906</v>
      </c>
      <c r="J16" s="3">
        <f t="shared" si="7"/>
        <v>7.6404393706870906</v>
      </c>
      <c r="K16" s="3">
        <f t="shared" si="7"/>
        <v>1.9415640798774105</v>
      </c>
      <c r="L16" s="3">
        <f t="shared" si="7"/>
        <v>7.6404393706870906</v>
      </c>
      <c r="M16" s="10"/>
    </row>
    <row r="17" spans="1:13" x14ac:dyDescent="0.2">
      <c r="A17" s="18" t="s">
        <v>5</v>
      </c>
      <c r="B17" s="4">
        <f>B14+B16</f>
        <v>46.240439370687092</v>
      </c>
      <c r="C17" s="4">
        <f t="shared" ref="C17:L17" si="8">C14+C16</f>
        <v>46.240439370687092</v>
      </c>
      <c r="D17" s="4">
        <f t="shared" si="8"/>
        <v>45.460439370687091</v>
      </c>
      <c r="E17" s="4">
        <f t="shared" si="8"/>
        <v>44.560439370687092</v>
      </c>
      <c r="F17" s="4">
        <f t="shared" si="8"/>
        <v>40.795025278038565</v>
      </c>
      <c r="G17" s="4">
        <f t="shared" si="8"/>
        <v>28.140439370687091</v>
      </c>
      <c r="H17" s="4">
        <f t="shared" si="8"/>
        <v>27.790439370687089</v>
      </c>
      <c r="I17" s="4">
        <f t="shared" si="8"/>
        <v>32.660439370687087</v>
      </c>
      <c r="J17" s="4">
        <f t="shared" si="8"/>
        <v>18.030439370687091</v>
      </c>
      <c r="K17" s="4">
        <f t="shared" si="8"/>
        <v>14.14156407987741</v>
      </c>
      <c r="L17" s="4">
        <f t="shared" si="8"/>
        <v>12.390439370687091</v>
      </c>
      <c r="M17" s="1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2021-10-30T08:47:35Z</dcterms:modified>
</cp:coreProperties>
</file>