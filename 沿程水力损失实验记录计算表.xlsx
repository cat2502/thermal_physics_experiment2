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 filterPrivacy="1"/>
  <xr:revisionPtr revIDLastSave="0" documentId="13_ncr:1_{ECD66E0A-14E9-47A5-8C44-A815D1C0204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M5" i="1"/>
  <c r="L9" i="1"/>
  <c r="L10" i="1"/>
  <c r="L11" i="1"/>
  <c r="L12" i="1"/>
  <c r="L5" i="1"/>
  <c r="L6" i="1"/>
  <c r="L7" i="1"/>
  <c r="M4" i="1"/>
  <c r="L4" i="1"/>
  <c r="K5" i="1" l="1"/>
  <c r="K6" i="1"/>
  <c r="K7" i="1"/>
  <c r="K4" i="1"/>
  <c r="E5" i="1"/>
  <c r="H5" i="1" s="1"/>
  <c r="E6" i="1"/>
  <c r="H6" i="1" s="1"/>
  <c r="E7" i="1"/>
  <c r="H7" i="1" s="1"/>
  <c r="E9" i="1"/>
  <c r="H9" i="1" s="1"/>
  <c r="E10" i="1"/>
  <c r="H10" i="1" s="1"/>
  <c r="E11" i="1"/>
  <c r="H11" i="1" s="1"/>
  <c r="E12" i="1"/>
  <c r="H12" i="1" s="1"/>
  <c r="E4" i="1"/>
</calcChain>
</file>

<file path=xl/sharedStrings.xml><?xml version="1.0" encoding="utf-8"?>
<sst xmlns="http://schemas.openxmlformats.org/spreadsheetml/2006/main" count="50" uniqueCount="32">
  <si>
    <t>测次</t>
  </si>
  <si>
    <t>体积</t>
  </si>
  <si>
    <t>V</t>
  </si>
  <si>
    <r>
      <t>/10</t>
    </r>
    <r>
      <rPr>
        <vertAlign val="superscript"/>
        <sz val="10.5"/>
        <color theme="1"/>
        <rFont val="Times New Roman"/>
        <family val="1"/>
      </rPr>
      <t>-6</t>
    </r>
    <r>
      <rPr>
        <sz val="10.5"/>
        <color theme="1"/>
        <rFont val="Times New Roman"/>
        <family val="1"/>
      </rPr>
      <t>m</t>
    </r>
    <r>
      <rPr>
        <vertAlign val="superscript"/>
        <sz val="10.5"/>
        <color theme="1"/>
        <rFont val="Times New Roman"/>
        <family val="1"/>
      </rPr>
      <t>3</t>
    </r>
  </si>
  <si>
    <t>时间</t>
  </si>
  <si>
    <t>t</t>
  </si>
  <si>
    <r>
      <t>/</t>
    </r>
    <r>
      <rPr>
        <i/>
        <sz val="10.5"/>
        <color theme="1"/>
        <rFont val="Times New Roman"/>
        <family val="1"/>
      </rPr>
      <t>s</t>
    </r>
  </si>
  <si>
    <t>流量</t>
  </si>
  <si>
    <r>
      <t>/(10</t>
    </r>
    <r>
      <rPr>
        <vertAlign val="superscript"/>
        <sz val="10.5"/>
        <color theme="1"/>
        <rFont val="Times New Roman"/>
        <family val="1"/>
      </rPr>
      <t>-6</t>
    </r>
    <r>
      <rPr>
        <sz val="10.5"/>
        <color theme="1"/>
        <rFont val="Times New Roman"/>
        <family val="1"/>
      </rPr>
      <t>m</t>
    </r>
    <r>
      <rPr>
        <vertAlign val="super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/s)</t>
    </r>
  </si>
  <si>
    <t>流速</t>
  </si>
  <si>
    <t>v</t>
  </si>
  <si>
    <r>
      <t>/(10</t>
    </r>
    <r>
      <rPr>
        <vertAlign val="superscript"/>
        <sz val="10.5"/>
        <color theme="1"/>
        <rFont val="Times New Roman"/>
        <family val="1"/>
      </rPr>
      <t>-2</t>
    </r>
    <r>
      <rPr>
        <sz val="10.5"/>
        <color theme="1"/>
        <rFont val="Times New Roman"/>
        <family val="1"/>
      </rPr>
      <t>m/s)</t>
    </r>
  </si>
  <si>
    <t>水温</t>
  </si>
  <si>
    <t>T</t>
  </si>
  <si>
    <r>
      <t>/</t>
    </r>
    <r>
      <rPr>
        <sz val="10.5"/>
        <color theme="1"/>
        <rFont val="Symbol"/>
        <family val="1"/>
        <charset val="2"/>
      </rPr>
      <t>°</t>
    </r>
    <r>
      <rPr>
        <sz val="10.5"/>
        <color theme="1"/>
        <rFont val="Times New Roman"/>
        <family val="1"/>
      </rPr>
      <t>C</t>
    </r>
  </si>
  <si>
    <t>粘度</t>
  </si>
  <si>
    <t>n</t>
  </si>
  <si>
    <t>雷诺数</t>
  </si>
  <si>
    <t>Re</t>
  </si>
  <si>
    <t>压差计、电测仪读数</t>
  </si>
  <si>
    <r>
      <t>/10</t>
    </r>
    <r>
      <rPr>
        <vertAlign val="superscript"/>
        <sz val="10.5"/>
        <color theme="1"/>
        <rFont val="Times New Roman"/>
        <family val="1"/>
      </rPr>
      <t>-2</t>
    </r>
    <r>
      <rPr>
        <sz val="10.5"/>
        <color theme="1"/>
        <rFont val="Times New Roman"/>
        <family val="1"/>
      </rPr>
      <t>m</t>
    </r>
  </si>
  <si>
    <t>沿程损失</t>
  </si>
  <si>
    <r>
      <t>h</t>
    </r>
    <r>
      <rPr>
        <vertAlign val="subscript"/>
        <sz val="10.5"/>
        <color theme="1"/>
        <rFont val="Times New Roman"/>
        <family val="1"/>
      </rPr>
      <t>f</t>
    </r>
  </si>
  <si>
    <t>沿程损</t>
  </si>
  <si>
    <t>失因数</t>
  </si>
  <si>
    <t>l</t>
  </si>
  <si>
    <r>
      <t>l</t>
    </r>
    <r>
      <rPr>
        <sz val="10.5"/>
        <color theme="1"/>
        <rFont val="Times New Roman"/>
        <family val="1"/>
      </rPr>
      <t>=</t>
    </r>
  </si>
  <si>
    <r>
      <t>h</t>
    </r>
    <r>
      <rPr>
        <vertAlign val="subscript"/>
        <sz val="10.5"/>
        <color theme="1"/>
        <rFont val="Times New Roman"/>
        <family val="1"/>
      </rPr>
      <t>1</t>
    </r>
  </si>
  <si>
    <r>
      <t>h</t>
    </r>
    <r>
      <rPr>
        <vertAlign val="subscript"/>
        <sz val="10.5"/>
        <color theme="1"/>
        <rFont val="Times New Roman"/>
        <family val="1"/>
      </rPr>
      <t>2</t>
    </r>
  </si>
  <si>
    <t>/</t>
  </si>
  <si>
    <r>
      <t>(</t>
    </r>
    <r>
      <rPr>
        <i/>
        <sz val="10.5"/>
        <color theme="1"/>
        <rFont val="Times New Roman"/>
        <family val="1"/>
      </rPr>
      <t>Re</t>
    </r>
    <r>
      <rPr>
        <sz val="10.5"/>
        <color theme="1"/>
        <rFont val="Times New Roman"/>
        <family val="1"/>
      </rPr>
      <t>&lt;2300)</t>
    </r>
    <phoneticPr fontId="9" type="noConversion"/>
  </si>
  <si>
    <r>
      <t>/(10</t>
    </r>
    <r>
      <rPr>
        <vertAlign val="superscript"/>
        <sz val="10.5"/>
        <color theme="1"/>
        <rFont val="Times New Roman"/>
        <family val="1"/>
      </rPr>
      <t>-7</t>
    </r>
    <r>
      <rPr>
        <sz val="10.5"/>
        <color theme="1"/>
        <rFont val="Times New Roman"/>
        <family val="1"/>
      </rPr>
      <t>m</t>
    </r>
    <r>
      <rPr>
        <vertAlign val="superscript"/>
        <sz val="10.5"/>
        <color theme="1"/>
        <rFont val="Times New Roman"/>
        <family val="1"/>
      </rPr>
      <t>2</t>
    </r>
    <r>
      <rPr>
        <sz val="10.5"/>
        <color theme="1"/>
        <rFont val="Times New Roman"/>
        <family val="1"/>
      </rPr>
      <t>/s)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</si>
</sst>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i/>
      <sz val="10.5"/>
      <color theme="1"/>
      <name val="Times New Roman"/>
      <family val="1"/>
    </font>
    <font>
      <vertAlign val="superscript"/>
      <sz val="10.5"/>
      <color theme="1"/>
      <name val="Times New Roman"/>
      <family val="1"/>
    </font>
    <font>
      <i/>
      <sz val="10.5"/>
      <color theme="1"/>
      <name val="Bookman Old Style"/>
      <family val="1"/>
    </font>
    <font>
      <sz val="10.5"/>
      <color theme="1"/>
      <name val="Symbol"/>
      <family val="1"/>
      <charset val="2"/>
    </font>
    <font>
      <i/>
      <sz val="10.5"/>
      <color theme="1"/>
      <name val="Symbol"/>
      <family val="1"/>
      <charset val="2"/>
    </font>
    <font>
      <vertAlign val="subscript"/>
      <sz val="10.5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</xdr:row>
          <xdr:rowOff>0</xdr:rowOff>
        </xdr:from>
        <xdr:to>
          <xdr:col>3</xdr:col>
          <xdr:colOff>180975</xdr:colOff>
          <xdr:row>1</xdr:row>
          <xdr:rowOff>200025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447675</xdr:colOff>
          <xdr:row>0</xdr:row>
          <xdr:rowOff>0</xdr:rowOff>
        </xdr:from>
        <xdr:to>
          <xdr:col>12</xdr:col>
          <xdr:colOff>666750</xdr:colOff>
          <xdr:row>2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L12" sqref="L12"/>
    </sheetView>
  </sheetViews>
  <sheetFormatPr defaultRowHeight="14.25" x14ac:dyDescent="0.2"/>
  <cols>
    <col min="5" max="5" width="10.875" bestFit="1" customWidth="1"/>
    <col min="8" max="8" width="10.875" bestFit="1" customWidth="1"/>
    <col min="12" max="12" width="9" customWidth="1"/>
    <col min="13" max="13" width="10.875" bestFit="1" customWidth="1"/>
  </cols>
  <sheetData>
    <row r="1" spans="1:13" x14ac:dyDescent="0.2">
      <c r="A1" s="20" t="s">
        <v>0</v>
      </c>
      <c r="B1" s="1" t="s">
        <v>1</v>
      </c>
      <c r="C1" s="1" t="s">
        <v>4</v>
      </c>
      <c r="D1" s="1" t="s">
        <v>7</v>
      </c>
      <c r="E1" s="1" t="s">
        <v>9</v>
      </c>
      <c r="F1" s="1" t="s">
        <v>12</v>
      </c>
      <c r="G1" s="1" t="s">
        <v>15</v>
      </c>
      <c r="H1" s="1" t="s">
        <v>17</v>
      </c>
      <c r="I1" s="16" t="s">
        <v>19</v>
      </c>
      <c r="J1" s="17"/>
      <c r="K1" s="1" t="s">
        <v>21</v>
      </c>
      <c r="L1" s="1" t="s">
        <v>23</v>
      </c>
      <c r="M1" s="10" t="s">
        <v>26</v>
      </c>
    </row>
    <row r="2" spans="1:13" ht="16.5" customHeight="1" thickBot="1" x14ac:dyDescent="0.25">
      <c r="A2" s="21"/>
      <c r="B2" s="2" t="s">
        <v>2</v>
      </c>
      <c r="C2" s="2" t="s">
        <v>5</v>
      </c>
      <c r="D2" s="4"/>
      <c r="E2" s="5" t="s">
        <v>10</v>
      </c>
      <c r="F2" s="2" t="s">
        <v>13</v>
      </c>
      <c r="G2" s="6" t="s">
        <v>16</v>
      </c>
      <c r="H2" s="2" t="s">
        <v>18</v>
      </c>
      <c r="I2" s="18" t="s">
        <v>20</v>
      </c>
      <c r="J2" s="19"/>
      <c r="K2" s="2" t="s">
        <v>22</v>
      </c>
      <c r="L2" s="8" t="s">
        <v>24</v>
      </c>
      <c r="M2" s="4"/>
    </row>
    <row r="3" spans="1:13" ht="17.25" thickBot="1" x14ac:dyDescent="0.25">
      <c r="A3" s="21"/>
      <c r="B3" s="3" t="s">
        <v>3</v>
      </c>
      <c r="C3" s="3" t="s">
        <v>6</v>
      </c>
      <c r="D3" s="3" t="s">
        <v>8</v>
      </c>
      <c r="E3" s="3" t="s">
        <v>11</v>
      </c>
      <c r="F3" s="3" t="s">
        <v>14</v>
      </c>
      <c r="G3" s="3" t="s">
        <v>31</v>
      </c>
      <c r="H3" s="7"/>
      <c r="I3" s="11" t="s">
        <v>27</v>
      </c>
      <c r="J3" s="11" t="s">
        <v>28</v>
      </c>
      <c r="K3" s="3" t="s">
        <v>20</v>
      </c>
      <c r="L3" s="9" t="s">
        <v>25</v>
      </c>
      <c r="M3" s="3" t="s">
        <v>30</v>
      </c>
    </row>
    <row r="4" spans="1:13" ht="15" thickBot="1" x14ac:dyDescent="0.25">
      <c r="A4" s="22">
        <v>1</v>
      </c>
      <c r="B4" s="3"/>
      <c r="C4" s="3"/>
      <c r="D4" s="3">
        <v>2.7</v>
      </c>
      <c r="E4" s="3">
        <f>TRUNC(4*D4/(PI()*0.68^2), 2)</f>
        <v>7.43</v>
      </c>
      <c r="F4" s="3">
        <v>31.5</v>
      </c>
      <c r="G4" s="3">
        <v>7.7619999999999996</v>
      </c>
      <c r="H4" s="3">
        <f>E4*0.68/G4*1000</f>
        <v>650.91471270291163</v>
      </c>
      <c r="I4" s="3">
        <v>25.72</v>
      </c>
      <c r="J4" s="3">
        <v>23</v>
      </c>
      <c r="K4" s="3">
        <f>I4-J4</f>
        <v>2.7199999999999989</v>
      </c>
      <c r="L4" s="3">
        <f>PI()^2*9.8*(0.0068)^5/(8*0.85)*K4*10000000000/(D4^2)</f>
        <v>0.77161888388432709</v>
      </c>
      <c r="M4" s="3">
        <f>64/H4</f>
        <v>9.832317314543583E-2</v>
      </c>
    </row>
    <row r="5" spans="1:13" ht="15" thickBot="1" x14ac:dyDescent="0.25">
      <c r="A5" s="22">
        <v>2</v>
      </c>
      <c r="B5" s="3"/>
      <c r="C5" s="3"/>
      <c r="D5" s="3">
        <v>5.2</v>
      </c>
      <c r="E5" s="3">
        <f t="shared" ref="E5:E12" si="0">TRUNC(4*D5/(PI()*0.68^2), 2)</f>
        <v>14.31</v>
      </c>
      <c r="F5" s="3">
        <v>31.8</v>
      </c>
      <c r="G5" s="3">
        <v>7.7149999999999999</v>
      </c>
      <c r="H5" s="3">
        <f t="shared" ref="H5:H12" si="1">E5*0.68/G5*1000</f>
        <v>1261.2832145171744</v>
      </c>
      <c r="I5" s="3">
        <v>26.29</v>
      </c>
      <c r="J5" s="3">
        <v>22.67</v>
      </c>
      <c r="K5" s="3">
        <f t="shared" ref="K5:K7" si="2">I5-J5</f>
        <v>3.6199999999999974</v>
      </c>
      <c r="L5" s="13">
        <f t="shared" ref="L5:L12" si="3">PI()^2*9.8*(0.0068)^5/(8*0.85)*K5*10000000000/(D5^2)</f>
        <v>0.2768620021255358</v>
      </c>
      <c r="M5" s="13">
        <f t="shared" ref="M5:M7" si="4">64/H5</f>
        <v>5.0741973938422329E-2</v>
      </c>
    </row>
    <row r="6" spans="1:13" ht="15" thickBot="1" x14ac:dyDescent="0.25">
      <c r="A6" s="22">
        <v>3</v>
      </c>
      <c r="B6" s="3"/>
      <c r="C6" s="3"/>
      <c r="D6" s="3">
        <v>15</v>
      </c>
      <c r="E6" s="3">
        <f t="shared" si="0"/>
        <v>41.3</v>
      </c>
      <c r="F6" s="3">
        <v>31.9</v>
      </c>
      <c r="G6" s="3">
        <v>7.7</v>
      </c>
      <c r="H6" s="3">
        <f t="shared" si="1"/>
        <v>3647.272727272727</v>
      </c>
      <c r="I6" s="3">
        <v>28.35</v>
      </c>
      <c r="J6" s="3">
        <v>19.920000000000002</v>
      </c>
      <c r="K6" s="3">
        <f t="shared" si="2"/>
        <v>8.43</v>
      </c>
      <c r="L6" s="13">
        <f t="shared" si="3"/>
        <v>7.7483018012166949E-2</v>
      </c>
      <c r="M6" s="13"/>
    </row>
    <row r="7" spans="1:13" ht="15" thickBot="1" x14ac:dyDescent="0.25">
      <c r="A7" s="22">
        <v>4</v>
      </c>
      <c r="B7" s="3"/>
      <c r="C7" s="3"/>
      <c r="D7" s="3">
        <v>39.700000000000003</v>
      </c>
      <c r="E7" s="3">
        <f t="shared" si="0"/>
        <v>109.31</v>
      </c>
      <c r="F7" s="3">
        <v>32.4</v>
      </c>
      <c r="G7" s="3">
        <v>7.6230000000000002</v>
      </c>
      <c r="H7" s="3">
        <f t="shared" si="1"/>
        <v>9750.859241768334</v>
      </c>
      <c r="I7" s="3">
        <v>32.9</v>
      </c>
      <c r="J7" s="3">
        <v>14.19</v>
      </c>
      <c r="K7" s="3">
        <f t="shared" si="2"/>
        <v>18.71</v>
      </c>
      <c r="L7" s="13">
        <f t="shared" si="3"/>
        <v>2.4550155421009828E-2</v>
      </c>
      <c r="M7" s="13"/>
    </row>
    <row r="8" spans="1:13" ht="15" thickBot="1" x14ac:dyDescent="0.25">
      <c r="A8" s="22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13"/>
      <c r="M8" s="3"/>
    </row>
    <row r="9" spans="1:13" ht="15" thickBot="1" x14ac:dyDescent="0.25">
      <c r="A9" s="22">
        <v>6</v>
      </c>
      <c r="B9" s="3" t="s">
        <v>29</v>
      </c>
      <c r="C9" s="3" t="s">
        <v>29</v>
      </c>
      <c r="D9" s="3">
        <v>92.5</v>
      </c>
      <c r="E9" s="3">
        <f t="shared" si="0"/>
        <v>254.7</v>
      </c>
      <c r="F9" s="3">
        <v>32.6</v>
      </c>
      <c r="G9" s="3">
        <v>7.5919999999999996</v>
      </c>
      <c r="H9" s="3">
        <f t="shared" si="1"/>
        <v>22812.961011591149</v>
      </c>
      <c r="I9" s="14">
        <v>100</v>
      </c>
      <c r="J9" s="15"/>
      <c r="K9" s="13">
        <v>100</v>
      </c>
      <c r="L9" s="13">
        <f t="shared" si="3"/>
        <v>2.4170075467351643E-2</v>
      </c>
      <c r="M9" s="12" t="s">
        <v>29</v>
      </c>
    </row>
    <row r="10" spans="1:13" ht="15" thickBot="1" x14ac:dyDescent="0.25">
      <c r="A10" s="22">
        <v>7</v>
      </c>
      <c r="B10" s="3" t="s">
        <v>29</v>
      </c>
      <c r="C10" s="3" t="s">
        <v>29</v>
      </c>
      <c r="D10" s="3">
        <v>120.3</v>
      </c>
      <c r="E10" s="3">
        <f t="shared" si="0"/>
        <v>331.25</v>
      </c>
      <c r="F10" s="3">
        <v>32.5</v>
      </c>
      <c r="G10" s="3">
        <v>7.6070000000000002</v>
      </c>
      <c r="H10" s="3">
        <f t="shared" si="1"/>
        <v>29610.884711449984</v>
      </c>
      <c r="I10" s="14">
        <v>158</v>
      </c>
      <c r="J10" s="15"/>
      <c r="K10" s="3">
        <v>158</v>
      </c>
      <c r="L10" s="13">
        <f t="shared" si="3"/>
        <v>2.2578095422547361E-2</v>
      </c>
      <c r="M10" s="12" t="s">
        <v>29</v>
      </c>
    </row>
    <row r="11" spans="1:13" ht="15" thickBot="1" x14ac:dyDescent="0.25">
      <c r="A11" s="22">
        <v>8</v>
      </c>
      <c r="B11" s="3" t="s">
        <v>29</v>
      </c>
      <c r="C11" s="3" t="s">
        <v>29</v>
      </c>
      <c r="D11" s="3">
        <v>164.1</v>
      </c>
      <c r="E11" s="3">
        <f t="shared" si="0"/>
        <v>451.85</v>
      </c>
      <c r="F11" s="3">
        <v>32.5</v>
      </c>
      <c r="G11" s="3">
        <v>7.6070000000000002</v>
      </c>
      <c r="H11" s="3">
        <f t="shared" si="1"/>
        <v>40391.481530169585</v>
      </c>
      <c r="I11" s="14">
        <v>272</v>
      </c>
      <c r="J11" s="15"/>
      <c r="K11" s="3">
        <v>272</v>
      </c>
      <c r="L11" s="13">
        <f t="shared" si="3"/>
        <v>2.0888786632297332E-2</v>
      </c>
      <c r="M11" s="12" t="s">
        <v>29</v>
      </c>
    </row>
    <row r="12" spans="1:13" ht="15" thickBot="1" x14ac:dyDescent="0.25">
      <c r="A12" s="22">
        <v>9</v>
      </c>
      <c r="B12" s="3" t="s">
        <v>29</v>
      </c>
      <c r="C12" s="3" t="s">
        <v>29</v>
      </c>
      <c r="D12" s="3">
        <v>214.3</v>
      </c>
      <c r="E12" s="3">
        <f t="shared" si="0"/>
        <v>590.08000000000004</v>
      </c>
      <c r="F12" s="3">
        <v>32.6</v>
      </c>
      <c r="G12" s="3">
        <v>7.5919999999999996</v>
      </c>
      <c r="H12" s="3">
        <f t="shared" si="1"/>
        <v>52852.265542676505</v>
      </c>
      <c r="I12" s="14">
        <v>451</v>
      </c>
      <c r="J12" s="15"/>
      <c r="K12" s="3">
        <v>451</v>
      </c>
      <c r="L12" s="13">
        <f t="shared" si="3"/>
        <v>2.0309239995066876E-2</v>
      </c>
      <c r="M12" s="12" t="s">
        <v>29</v>
      </c>
    </row>
    <row r="13" spans="1:13" ht="15" thickBot="1" x14ac:dyDescent="0.25">
      <c r="A13" s="22">
        <v>10</v>
      </c>
      <c r="B13" s="3" t="s">
        <v>29</v>
      </c>
      <c r="C13" s="3" t="s">
        <v>29</v>
      </c>
      <c r="D13" s="3"/>
      <c r="E13" s="3"/>
      <c r="F13" s="3"/>
      <c r="G13" s="3"/>
      <c r="H13" s="3"/>
      <c r="I13" s="14"/>
      <c r="J13" s="15"/>
      <c r="K13" s="3"/>
      <c r="L13" s="3"/>
      <c r="M13" s="12" t="s">
        <v>29</v>
      </c>
    </row>
    <row r="14" spans="1:13" ht="15" thickBot="1" x14ac:dyDescent="0.25">
      <c r="A14" s="23">
        <v>11</v>
      </c>
      <c r="B14" s="3" t="s">
        <v>29</v>
      </c>
      <c r="C14" s="3" t="s">
        <v>29</v>
      </c>
      <c r="D14" s="3"/>
      <c r="E14" s="3"/>
      <c r="F14" s="3"/>
      <c r="G14" s="3"/>
      <c r="H14" s="3"/>
      <c r="I14" s="14"/>
      <c r="J14" s="15"/>
      <c r="K14" s="3"/>
      <c r="L14" s="3"/>
      <c r="M14" s="12" t="s">
        <v>29</v>
      </c>
    </row>
  </sheetData>
  <mergeCells count="9">
    <mergeCell ref="I12:J12"/>
    <mergeCell ref="I13:J13"/>
    <mergeCell ref="I14:J14"/>
    <mergeCell ref="A1:A3"/>
    <mergeCell ref="I1:J1"/>
    <mergeCell ref="I2:J2"/>
    <mergeCell ref="I9:J9"/>
    <mergeCell ref="I10:J10"/>
    <mergeCell ref="I11:J11"/>
  </mergeCells>
  <phoneticPr fontId="9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6" r:id="rId4">
          <objectPr defaultSize="0" autoPict="0" r:id="rId5">
            <anchor moveWithCells="1" siz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180975</xdr:colOff>
                <xdr:row>1</xdr:row>
                <xdr:rowOff>200025</xdr:rowOff>
              </to>
            </anchor>
          </objectPr>
        </oleObject>
      </mc:Choice>
      <mc:Fallback>
        <oleObject progId="Equation.DSMT4" shapeId="1026" r:id="rId4"/>
      </mc:Fallback>
    </mc:AlternateContent>
    <mc:AlternateContent xmlns:mc="http://schemas.openxmlformats.org/markup-compatibility/2006">
      <mc:Choice Requires="x14">
        <oleObject progId="Equation.DSMT4" shapeId="1025" r:id="rId6">
          <objectPr defaultSize="0" autoPict="0" r:id="rId7">
            <anchor moveWithCells="1" sizeWithCells="1">
              <from>
                <xdr:col>12</xdr:col>
                <xdr:colOff>447675</xdr:colOff>
                <xdr:row>0</xdr:row>
                <xdr:rowOff>0</xdr:rowOff>
              </from>
              <to>
                <xdr:col>12</xdr:col>
                <xdr:colOff>666750</xdr:colOff>
                <xdr:row>2</xdr:row>
                <xdr:rowOff>0</xdr:rowOff>
              </to>
            </anchor>
          </objectPr>
        </oleObject>
      </mc:Choice>
      <mc:Fallback>
        <oleObject progId="Equation.DSMT4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2021-10-22T13:03:41Z</dcterms:modified>
</cp:coreProperties>
</file>